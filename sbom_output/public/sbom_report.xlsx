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omponent Data (21 Attr)" sheetId="2" state="visible" r:id="rId2"/>
    <sheet xmlns:r="http://schemas.openxmlformats.org/officeDocument/2006/relationships" name="Vulnerability Matrix" sheetId="3" state="visible" r:id="rId3"/>
    <sheet xmlns:r="http://schemas.openxmlformats.org/officeDocument/2006/relationships" name="Mathematical Statistics" sheetId="4" state="visible" r:id="rId4"/>
    <sheet xmlns:r="http://schemas.openxmlformats.org/officeDocument/2006/relationships" name="Legend &amp; 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Segoe UI"/>
      <b val="1"/>
      <color rgb="000D1B2A"/>
      <sz val="18"/>
    </font>
    <font>
      <name val="Segoe UI"/>
      <i val="1"/>
      <color rgb="00546E7A"/>
      <sz val="11"/>
    </font>
    <font>
      <name val="Segoe UI"/>
      <b val="1"/>
      <color rgb="000D1B2A"/>
      <sz val="28"/>
    </font>
    <font>
      <name val="Segoe UI"/>
      <color rgb="0078909C"/>
      <sz val="10"/>
    </font>
    <font>
      <name val="Segoe UI"/>
      <b val="1"/>
      <color rgb="000D1B2A"/>
      <sz val="13"/>
    </font>
    <font>
      <name val="Segoe UI"/>
      <b val="1"/>
      <color rgb="00FFFFFF"/>
      <sz val="10"/>
    </font>
    <font>
      <name val="Segoe UI"/>
      <b val="1"/>
      <color rgb="002E7D32"/>
      <sz val="12"/>
    </font>
    <font>
      <name val="Segoe UI"/>
      <b val="1"/>
      <color rgb="00FFFFFF"/>
      <sz val="11"/>
    </font>
    <font>
      <name val="Segoe UI"/>
      <color rgb="00212121"/>
      <sz val="9"/>
    </font>
    <font>
      <name val="Segoe UI"/>
      <b val="1"/>
      <color rgb="00212121"/>
      <sz val="9"/>
    </font>
    <font>
      <name val="Segoe UI"/>
      <b val="1"/>
      <color rgb="00FFFFFF"/>
      <sz val="9"/>
    </font>
    <font>
      <name val="Segoe UI"/>
      <b val="1"/>
      <color rgb="00000000"/>
      <sz val="9"/>
    </font>
    <font>
      <name val="Segoe UI"/>
      <i val="1"/>
      <color rgb="00546E7A"/>
      <sz val="8"/>
    </font>
    <font>
      <name val="Segoe UI"/>
      <b val="1"/>
      <color rgb="00B71C1C"/>
      <sz val="9"/>
    </font>
    <font>
      <name val="Segoe UI"/>
      <b val="1"/>
      <color rgb="00E65100"/>
      <sz val="9"/>
    </font>
    <font>
      <name val="Segoe UI"/>
      <b val="1"/>
      <color rgb="00F57F17"/>
      <sz val="9"/>
    </font>
    <font>
      <name val="Segoe UI"/>
      <b val="1"/>
      <color rgb="001B5E20"/>
      <sz val="9"/>
    </font>
    <font>
      <name val="Segoe UI"/>
      <b val="1"/>
      <color rgb="00424242"/>
      <sz val="9"/>
    </font>
    <font>
      <name val="Segoe UI"/>
      <b val="1"/>
      <color rgb="000D1B2A"/>
      <sz val="12"/>
    </font>
    <font>
      <name val="Segoe UI"/>
      <b val="1"/>
      <color rgb="00000000"/>
      <sz val="10"/>
    </font>
  </fonts>
  <fills count="21">
    <fill>
      <patternFill/>
    </fill>
    <fill>
      <patternFill patternType="gray125"/>
    </fill>
    <fill>
      <patternFill patternType="solid">
        <fgColor rgb="00E3F2FD"/>
        <bgColor rgb="00E3F2F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FFEBEE"/>
        <bgColor rgb="00FFEBEE"/>
      </patternFill>
    </fill>
    <fill>
      <patternFill patternType="solid">
        <fgColor rgb="00FFF8E1"/>
        <bgColor rgb="00FFF8E1"/>
      </patternFill>
    </fill>
    <fill>
      <patternFill patternType="solid">
        <fgColor rgb="00F1F8E9"/>
        <bgColor rgb="00F1F8E9"/>
      </patternFill>
    </fill>
    <fill>
      <patternFill patternType="solid">
        <fgColor rgb="00E0F2F1"/>
        <bgColor rgb="00E0F2F1"/>
      </patternFill>
    </fill>
    <fill>
      <patternFill patternType="solid">
        <fgColor rgb="001F4E78"/>
        <bgColor rgb="001F4E78"/>
      </patternFill>
    </fill>
    <fill>
      <patternFill patternType="solid">
        <fgColor rgb="001B2838"/>
        <bgColor rgb="001B2838"/>
      </patternFill>
    </fill>
    <fill>
      <patternFill patternType="solid">
        <fgColor rgb="00F4F6F9"/>
        <bgColor rgb="00F4F6F9"/>
      </patternFill>
    </fill>
    <fill>
      <patternFill patternType="solid">
        <fgColor rgb="00FF4C4C"/>
        <bgColor rgb="00FF4C4C"/>
      </patternFill>
    </fill>
    <fill>
      <patternFill patternType="solid">
        <fgColor rgb="00FF9800"/>
        <bgColor rgb="00FF9800"/>
      </patternFill>
    </fill>
    <fill>
      <patternFill patternType="solid">
        <fgColor rgb="00FFC107"/>
        <bgColor rgb="00FFC107"/>
      </patternFill>
    </fill>
    <fill>
      <patternFill patternType="solid">
        <fgColor rgb="004CAF50"/>
        <bgColor rgb="004CAF50"/>
      </patternFill>
    </fill>
    <fill>
      <patternFill patternType="solid">
        <fgColor rgb="00FFCDD2"/>
        <bgColor rgb="00FFCDD2"/>
      </patternFill>
    </fill>
    <fill>
      <patternFill patternType="solid">
        <fgColor rgb="00FFE0B2"/>
        <bgColor rgb="00FFE0B2"/>
      </patternFill>
    </fill>
    <fill>
      <patternFill patternType="solid">
        <fgColor rgb="00FFF9C4"/>
        <bgColor rgb="00FFF9C4"/>
      </patternFill>
    </fill>
    <fill>
      <patternFill patternType="solid">
        <fgColor rgb="00C8E6C9"/>
        <bgColor rgb="00C8E6C9"/>
      </patternFill>
    </fill>
    <fill>
      <patternFill patternType="solid">
        <fgColor rgb="00E0E0E0"/>
        <bgColor rgb="00E0E0E0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>
      <left style="thin">
        <color rgb="00B0BEC5"/>
      </left>
      <right style="thin">
        <color rgb="00B0BEC5"/>
      </right>
      <top style="thin">
        <color rgb="00B0BEC5"/>
      </top>
      <bottom style="double">
        <color rgb="000D1B2A"/>
      </bottom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5" fillId="0" borderId="0" pivotButton="0" quotePrefix="0" xfId="0"/>
    <xf numFmtId="0" fontId="6" fillId="9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3" fontId="10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left" vertical="center"/>
    </xf>
    <xf numFmtId="3" fontId="10" fillId="11" borderId="1" applyAlignment="1" pivotButton="0" quotePrefix="0" xfId="0">
      <alignment horizontal="center" vertical="center"/>
    </xf>
    <xf numFmtId="2" fontId="10" fillId="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3" fontId="9" fillId="0" borderId="1" applyAlignment="1" pivotButton="0" quotePrefix="0" xfId="0">
      <alignment horizontal="center" vertical="center"/>
    </xf>
    <xf numFmtId="164" fontId="9" fillId="0" borderId="1" applyAlignment="1" pivotButton="0" quotePrefix="0" xfId="0">
      <alignment horizontal="center" vertical="center"/>
    </xf>
    <xf numFmtId="0" fontId="12" fillId="13" borderId="1" applyAlignment="1" pivotButton="0" quotePrefix="0" xfId="0">
      <alignment horizontal="center" vertical="center"/>
    </xf>
    <xf numFmtId="3" fontId="9" fillId="11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center" vertical="center"/>
    </xf>
    <xf numFmtId="0" fontId="11" fillId="15" borderId="1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3" fontId="10" fillId="0" borderId="2" applyAlignment="1" pivotButton="0" quotePrefix="0" xfId="0">
      <alignment horizontal="center" vertical="center"/>
    </xf>
    <xf numFmtId="164" fontId="10" fillId="0" borderId="2" applyAlignment="1" pivotButton="0" quotePrefix="0" xfId="0">
      <alignment horizontal="center" vertical="center"/>
    </xf>
    <xf numFmtId="2" fontId="9" fillId="11" borderId="1" applyAlignment="1" pivotButton="0" quotePrefix="0" xfId="0">
      <alignment horizontal="left" vertical="center"/>
    </xf>
    <xf numFmtId="164" fontId="10" fillId="0" borderId="1" applyAlignment="1" pivotButton="0" quotePrefix="0" xfId="0">
      <alignment horizontal="center" vertical="center"/>
    </xf>
    <xf numFmtId="0" fontId="14" fillId="16" borderId="1" applyAlignment="1" pivotButton="0" quotePrefix="0" xfId="0">
      <alignment horizontal="center" vertical="center"/>
    </xf>
    <xf numFmtId="0" fontId="15" fillId="17" borderId="1" applyAlignment="1" pivotButton="0" quotePrefix="0" xfId="0">
      <alignment horizontal="center" vertical="center"/>
    </xf>
    <xf numFmtId="0" fontId="16" fillId="18" borderId="1" applyAlignment="1" pivotButton="0" quotePrefix="0" xfId="0">
      <alignment horizontal="center" vertical="center"/>
    </xf>
    <xf numFmtId="0" fontId="17" fillId="19" borderId="1" applyAlignment="1" pivotButton="0" quotePrefix="0" xfId="0">
      <alignment horizontal="center" vertical="center"/>
    </xf>
    <xf numFmtId="0" fontId="18" fillId="20" borderId="1" applyAlignment="1" pivotButton="0" quotePrefix="0" xfId="0">
      <alignment horizontal="center" vertical="center"/>
    </xf>
    <xf numFmtId="0" fontId="10" fillId="0" borderId="2" applyAlignment="1" pivotButton="0" quotePrefix="0" xfId="0">
      <alignment horizontal="left" vertical="center"/>
    </xf>
    <xf numFmtId="0" fontId="19" fillId="0" borderId="0" pivotButton="0" quotePrefix="0" xfId="0"/>
    <xf numFmtId="0" fontId="6" fillId="12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 wrapText="1"/>
    </xf>
    <xf numFmtId="0" fontId="20" fillId="13" borderId="1" applyAlignment="1" pivotButton="0" quotePrefix="0" xfId="0">
      <alignment horizontal="center" vertical="center"/>
    </xf>
    <xf numFmtId="0" fontId="20" fillId="14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 wrapText="1"/>
    </xf>
    <xf numFmtId="0" fontId="9" fillId="11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4" customWidth="1" min="5" max="5"/>
    <col width="18" customWidth="1" min="6" max="6"/>
    <col width="10" customWidth="1" min="7" max="7"/>
    <col width="10" customWidth="1" min="8" max="8"/>
  </cols>
  <sheetData>
    <row r="1" ht="40" customHeight="1">
      <c r="A1" s="1" t="inlineStr">
        <is>
          <t>SBOM Compliance Dashboard</t>
        </is>
      </c>
    </row>
    <row r="2" ht="22" customHeight="1">
      <c r="A2" s="2" t="inlineStr">
        <is>
          <t>CycloneDX v1.5 | Generated: 2026-06-30T07:25:27Z | Report Date: 2026-06-30 12:55</t>
        </is>
      </c>
    </row>
    <row r="3"/>
    <row r="4" ht="50" customHeight="1">
      <c r="A4" s="3" t="inlineStr">
        <is>
          <t>0</t>
        </is>
      </c>
      <c r="B4" s="4" t="inlineStr">
        <is>
          <t>0</t>
        </is>
      </c>
      <c r="C4" s="5" t="inlineStr">
        <is>
          <t>0</t>
        </is>
      </c>
      <c r="D4" s="6" t="inlineStr">
        <is>
          <t>0</t>
        </is>
      </c>
      <c r="E4" s="7" t="inlineStr">
        <is>
          <t>0</t>
        </is>
      </c>
      <c r="F4" s="8" t="inlineStr">
        <is>
          <t>0</t>
        </is>
      </c>
      <c r="G4" s="9" t="inlineStr">
        <is>
          <t>0</t>
        </is>
      </c>
    </row>
    <row r="5" ht="25" customHeight="1">
      <c r="A5" s="10" t="inlineStr">
        <is>
          <t>Total Components</t>
        </is>
      </c>
      <c r="B5" s="11" t="inlineStr">
        <is>
          <t>Known Vulns</t>
        </is>
      </c>
      <c r="C5" s="12" t="inlineStr">
        <is>
          <t>Unique Licenses</t>
        </is>
      </c>
      <c r="D5" s="13" t="inlineStr">
        <is>
          <t>Critical</t>
        </is>
      </c>
      <c r="E5" s="14" t="inlineStr">
        <is>
          <t>High</t>
        </is>
      </c>
      <c r="F5" s="15" t="inlineStr">
        <is>
          <t>Medium</t>
        </is>
      </c>
      <c r="G5" s="16" t="inlineStr">
        <is>
          <t>Low</t>
        </is>
      </c>
    </row>
    <row r="6"/>
    <row r="7">
      <c r="A7" s="17" t="inlineStr">
        <is>
          <t>Component Overview</t>
        </is>
      </c>
    </row>
    <row r="8" ht="26" customHeight="1">
      <c r="A8" s="18" t="inlineStr">
        <is>
          <t>#</t>
        </is>
      </c>
      <c r="B8" s="18" t="inlineStr">
        <is>
          <t>Component</t>
        </is>
      </c>
      <c r="C8" s="18" t="inlineStr">
        <is>
          <t>Version</t>
        </is>
      </c>
      <c r="D8" s="18" t="inlineStr">
        <is>
          <t>License</t>
        </is>
      </c>
      <c r="E8" s="18" t="inlineStr">
        <is>
          <t>Criticality</t>
        </is>
      </c>
      <c r="F8" s="18" t="inlineStr">
        <is>
          <t>Vulnerabilities</t>
        </is>
      </c>
      <c r="G8" s="18" t="inlineStr">
        <is>
          <t>PURL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E8A838"/>
    <outlinePr summaryBelow="1" summaryRight="1"/>
    <pageSetUpPr/>
  </sheetPr>
  <dimension ref="A1:A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7" customWidth="1" min="2" max="2"/>
    <col width="20" customWidth="1" min="3" max="3"/>
    <col width="24" customWidth="1" min="4" max="4"/>
    <col width="21" customWidth="1" min="5" max="5"/>
    <col width="20" customWidth="1" min="6" max="6"/>
    <col width="19" customWidth="1" min="7" max="7"/>
    <col width="25" customWidth="1" min="8" max="8"/>
    <col width="18" customWidth="1" min="9" max="9"/>
    <col width="15" customWidth="1" min="10" max="10"/>
    <col width="15" customWidth="1" min="11" max="11"/>
    <col width="25" customWidth="1" min="12" max="12"/>
    <col width="14" customWidth="1" min="13" max="13"/>
    <col width="21" customWidth="1" min="14" max="14"/>
    <col width="21" customWidth="1" min="15" max="15"/>
    <col width="22" customWidth="1" min="16" max="16"/>
    <col width="20" customWidth="1" min="17" max="17"/>
    <col width="22" customWidth="1" min="18" max="18"/>
    <col width="12" customWidth="1" min="19" max="19"/>
    <col width="22" customWidth="1" min="20" max="20"/>
    <col width="22" customWidth="1" min="21" max="21"/>
    <col width="19" customWidth="1" min="22" max="22"/>
    <col width="22" customWidth="1" min="23" max="23"/>
    <col width="27" customWidth="1" min="24" max="24"/>
    <col width="14" customWidth="1" min="25" max="25"/>
    <col width="22" customWidth="1" min="26" max="26"/>
    <col width="22" customWidth="1" min="27" max="27"/>
    <col width="17" customWidth="1" min="28" max="28"/>
    <col width="23" customWidth="1" min="29" max="29"/>
  </cols>
  <sheetData>
    <row r="1" ht="35" customHeight="1">
      <c r="A1" s="19" t="inlineStr">
        <is>
          <t>SBOM Component Data - All 21 Client Attributes + Enterprise Enhancements</t>
        </is>
      </c>
    </row>
    <row r="2">
      <c r="A2" s="2" t="inlineStr">
        <is>
          <t>Author: Client-Assigned Scanning Service  |  Generated: 2026-06-30T07:25:27Z</t>
        </is>
      </c>
    </row>
    <row r="3"/>
    <row r="4" ht="30" customHeight="1">
      <c r="A4" s="18" t="inlineStr">
        <is>
          <t>Sr No</t>
        </is>
      </c>
      <c r="B4" s="18" t="inlineStr">
        <is>
          <t>Component Name</t>
        </is>
      </c>
      <c r="C4" s="18" t="inlineStr">
        <is>
          <t>Component Version</t>
        </is>
      </c>
      <c r="D4" s="18" t="inlineStr">
        <is>
          <t>Component Description</t>
        </is>
      </c>
      <c r="E4" s="18" t="inlineStr">
        <is>
          <t>Component Supplier</t>
        </is>
      </c>
      <c r="F4" s="18" t="inlineStr">
        <is>
          <t>Component License</t>
        </is>
      </c>
      <c r="G4" s="18" t="inlineStr">
        <is>
          <t>Component Origin</t>
        </is>
      </c>
      <c r="H4" s="18" t="inlineStr">
        <is>
          <t>Component Dependencies</t>
        </is>
      </c>
      <c r="I4" s="18" t="inlineStr">
        <is>
          <t>Vulnerabilities</t>
        </is>
      </c>
      <c r="J4" s="18" t="inlineStr">
        <is>
          <t>Patch Status</t>
        </is>
      </c>
      <c r="K4" s="18" t="inlineStr">
        <is>
          <t>Release Date</t>
        </is>
      </c>
      <c r="L4" s="18" t="inlineStr">
        <is>
          <t>End-of-Life (EOL) Date</t>
        </is>
      </c>
      <c r="M4" s="18" t="inlineStr">
        <is>
          <t>Criticality</t>
        </is>
      </c>
      <c r="N4" s="18" t="inlineStr">
        <is>
          <t>Criticality Reason</t>
        </is>
      </c>
      <c r="O4" s="18" t="inlineStr">
        <is>
          <t>Usage Restrictions</t>
        </is>
      </c>
      <c r="P4" s="18" t="inlineStr">
        <is>
          <t>Checksums or Hashes</t>
        </is>
      </c>
      <c r="Q4" s="18" t="inlineStr">
        <is>
          <t>Comments or Notes</t>
        </is>
      </c>
      <c r="R4" s="18" t="inlineStr">
        <is>
          <t>Author of SBOM Data</t>
        </is>
      </c>
      <c r="S4" s="18" t="inlineStr">
        <is>
          <t>Timestamp</t>
        </is>
      </c>
      <c r="T4" s="18" t="inlineStr">
        <is>
          <t>Executable Property</t>
        </is>
      </c>
      <c r="U4" s="18" t="inlineStr">
        <is>
          <t>Executable Evidence</t>
        </is>
      </c>
      <c r="V4" s="18" t="inlineStr">
        <is>
          <t>Archive Property</t>
        </is>
      </c>
      <c r="W4" s="18" t="inlineStr">
        <is>
          <t>Structured Property</t>
        </is>
      </c>
      <c r="X4" s="18" t="inlineStr">
        <is>
          <t>Unique Identifier (PURL)</t>
        </is>
      </c>
      <c r="Y4" s="18" t="inlineStr">
        <is>
          <t>Trust Score</t>
        </is>
      </c>
      <c r="Z4" s="18" t="inlineStr">
        <is>
          <t>Trust Score Reasons</t>
        </is>
      </c>
      <c r="AA4" s="18" t="inlineStr">
        <is>
          <t>Repository Registry</t>
        </is>
      </c>
      <c r="AB4" s="18" t="inlineStr">
        <is>
          <t>Repository URL</t>
        </is>
      </c>
      <c r="AC4" s="18" t="inlineStr">
        <is>
          <t>Repository Ecosystem</t>
        </is>
      </c>
    </row>
  </sheetData>
  <mergeCells count="2">
    <mergeCell ref="A2:AC2"/>
    <mergeCell ref="A1:A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4C4C"/>
    <outlinePr summaryBelow="1" summaryRight="1"/>
    <pageSetUpPr/>
  </sheetPr>
  <dimension ref="A1:H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5" customWidth="1" min="1" max="1"/>
    <col width="16" customWidth="1" min="2" max="2"/>
    <col width="11" customWidth="1" min="3" max="3"/>
    <col width="10" customWidth="1" min="4" max="4"/>
    <col width="14" customWidth="1" min="5" max="5"/>
    <col width="21" customWidth="1" min="6" max="6"/>
    <col width="10" customWidth="1" min="7" max="7"/>
    <col width="13" customWidth="1" min="8" max="8"/>
  </cols>
  <sheetData>
    <row r="1" ht="35" customHeight="1">
      <c r="A1" s="19" t="inlineStr">
        <is>
          <t>Vulnerability Matrix</t>
        </is>
      </c>
    </row>
    <row r="2"/>
    <row r="3" ht="28" customHeight="1">
      <c r="A3" s="18" t="inlineStr">
        <is>
          <t>#</t>
        </is>
      </c>
      <c r="B3" s="18" t="inlineStr">
        <is>
          <t>CVE / Vuln ID</t>
        </is>
      </c>
      <c r="C3" s="18" t="inlineStr">
        <is>
          <t>Severity</t>
        </is>
      </c>
      <c r="D3" s="18" t="inlineStr">
        <is>
          <t>Source</t>
        </is>
      </c>
      <c r="E3" s="18" t="inlineStr">
        <is>
          <t>Description</t>
        </is>
      </c>
      <c r="F3" s="18" t="inlineStr">
        <is>
          <t>Affected Component</t>
        </is>
      </c>
      <c r="G3" s="18" t="inlineStr">
        <is>
          <t>Status</t>
        </is>
      </c>
      <c r="H3" s="18" t="inlineStr">
        <is>
          <t>Detail URL</t>
        </is>
      </c>
    </row>
    <row r="4" ht="30" customHeight="1">
      <c r="A4" s="20" t="inlineStr">
        <is>
          <t>[OK] No known vulnerabilities found in this SBOM scan.</t>
        </is>
      </c>
    </row>
  </sheetData>
  <mergeCells count="2">
    <mergeCell ref="A4:H4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ACC1"/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32" customWidth="1" min="1" max="1"/>
    <col width="25" customWidth="1" min="2" max="2"/>
    <col width="22" customWidth="1" min="3" max="3"/>
    <col width="30" customWidth="1" min="4" max="4"/>
    <col width="35" customWidth="1" min="5" max="5"/>
  </cols>
  <sheetData>
    <row r="1" ht="40" customHeight="1">
      <c r="A1" s="1" t="inlineStr">
        <is>
          <t>Mathematical Statistics &amp; Calculation of Findings</t>
        </is>
      </c>
    </row>
    <row r="2" ht="22" customHeight="1">
      <c r="A2" s="2" t="inlineStr">
        <is>
          <t>Dynamic formulas summarizing security metrics, criticality risk index, trust analytics, and patch rates.</t>
        </is>
      </c>
    </row>
    <row r="4" ht="25" customHeight="1">
      <c r="A4" s="21" t="inlineStr">
        <is>
          <t>1. General Quantitative Metrics</t>
        </is>
      </c>
    </row>
    <row r="5" ht="24" customHeight="1">
      <c r="A5" s="22" t="inlineStr">
        <is>
          <t>Metric Name</t>
        </is>
      </c>
      <c r="B5" s="22" t="inlineStr">
        <is>
          <t>Excel Formula</t>
        </is>
      </c>
      <c r="C5" s="22" t="inlineStr">
        <is>
          <t>Calculated Value</t>
        </is>
      </c>
      <c r="D5" s="22" t="inlineStr">
        <is>
          <t>Mathematical Definition / Description</t>
        </is>
      </c>
    </row>
    <row r="6" ht="22" customHeight="1">
      <c r="A6" s="23" t="inlineStr">
        <is>
          <t>Total Components</t>
        </is>
      </c>
      <c r="B6" s="23">
        <f>COUNTA('Component Data (21 Attr)'!B5:B5)</f>
        <v/>
      </c>
      <c r="C6" s="24">
        <f>COUNTA('Component Data (21 Attr)'!B5:B5)</f>
        <v/>
      </c>
      <c r="D6" s="23" t="inlineStr">
        <is>
          <t>Total number of third-party and proprietary component dependencies cataloged in the SBOM.</t>
        </is>
      </c>
    </row>
    <row r="7" ht="22" customHeight="1">
      <c r="A7" s="25" t="inlineStr">
        <is>
          <t>Total Vulnerabilities</t>
        </is>
      </c>
      <c r="B7" s="25">
        <f>IF('Vulnerability Matrix'!B4="[OK] No known vulnerabilities found in this SBOM scan.", 0, COUNTA('Vulnerability Matrix'!B4:B4))</f>
        <v/>
      </c>
      <c r="C7" s="26">
        <f>IF('Vulnerability Matrix'!B4="[OK] No known vulnerabilities found in this SBOM scan.", 0, COUNTA('Vulnerability Matrix'!B4:B4))</f>
        <v/>
      </c>
      <c r="D7" s="25" t="inlineStr">
        <is>
          <t>Count of all identified security vulnerabilities affecting components.</t>
        </is>
      </c>
    </row>
    <row r="8" ht="22" customHeight="1">
      <c r="A8" s="23" t="inlineStr">
        <is>
          <t>Vulnerability Density</t>
        </is>
      </c>
      <c r="B8" s="23">
        <f>IF(C6=0, 0, C7/C6)</f>
        <v/>
      </c>
      <c r="C8" s="27">
        <f>IF(C6=0, 0, C7/C6)</f>
        <v/>
      </c>
      <c r="D8" s="23" t="inlineStr">
        <is>
          <t>Vulnerability Density = Total Vulnerabilities / Total Components (expected &lt; 0.10).</t>
        </is>
      </c>
    </row>
    <row r="9" ht="22" customHeight="1">
      <c r="A9" s="25" t="inlineStr">
        <is>
          <t>Patched Components</t>
        </is>
      </c>
      <c r="B9" s="25">
        <f>COUNTIF('Component Data (21 Attr)'!J5:J5, "up-to-date")</f>
        <v/>
      </c>
      <c r="C9" s="26">
        <f>COUNTIF('Component Data (21 Attr)'!J5:J5, "up-to-date")</f>
        <v/>
      </c>
      <c r="D9" s="25" t="inlineStr">
        <is>
          <t>Number of components that are fully patched (i.e. version is equal to latest release).</t>
        </is>
      </c>
    </row>
    <row r="10" ht="22" customHeight="1">
      <c r="A10" s="23" t="inlineStr">
        <is>
          <t>Out-of-Date Components</t>
        </is>
      </c>
      <c r="B10" s="23">
        <f>COUNTIF('Component Data (21 Attr)'!J5:J5, "patch-available")</f>
        <v/>
      </c>
      <c r="C10" s="24">
        <f>COUNTIF('Component Data (21 Attr)'!J5:J5, "patch-available")</f>
        <v/>
      </c>
      <c r="D10" s="23" t="inlineStr">
        <is>
          <t>Number of components where a newer version/patch is available in the registry.</t>
        </is>
      </c>
    </row>
    <row r="11" ht="22" customHeight="1">
      <c r="A11" s="25" t="inlineStr">
        <is>
          <t>Patch Rate</t>
        </is>
      </c>
      <c r="B11" s="25">
        <f>IF(C6=0, 0, C9/C6)</f>
        <v/>
      </c>
      <c r="C11" s="28">
        <f>IF(C6=0, 0, C9/C6)</f>
        <v/>
      </c>
      <c r="D11" s="25" t="inlineStr">
        <is>
          <t>Patch Compliance Rate = Patched Components / Total Components (Target &gt;= 90%).</t>
        </is>
      </c>
    </row>
    <row r="13" ht="25" customHeight="1">
      <c r="A13" s="21" t="inlineStr">
        <is>
          <t>2. Component Criticality Risk Index Scorecard</t>
        </is>
      </c>
    </row>
    <row r="14" ht="24" customHeight="1">
      <c r="A14" s="22" t="inlineStr">
        <is>
          <t>Criticality Level</t>
        </is>
      </c>
      <c r="B14" s="22" t="inlineStr">
        <is>
          <t>Weight (W)</t>
        </is>
      </c>
      <c r="C14" s="22" t="inlineStr">
        <is>
          <t>Component Count (C)</t>
        </is>
      </c>
      <c r="D14" s="22" t="inlineStr">
        <is>
          <t>Weighted Score (W * C)</t>
        </is>
      </c>
      <c r="E14" s="22" t="inlineStr">
        <is>
          <t>Percentage of Total</t>
        </is>
      </c>
    </row>
    <row r="15" ht="22" customHeight="1">
      <c r="A15" s="29" t="inlineStr">
        <is>
          <t>CRITICAL</t>
        </is>
      </c>
      <c r="B15" s="30" t="n">
        <v>10</v>
      </c>
      <c r="C15" s="30">
        <f>COUNTIF('Component Data (21 Attr)'!M5:M5, "CRITICAL")</f>
        <v/>
      </c>
      <c r="D15" s="24">
        <f>B15*C15</f>
        <v/>
      </c>
      <c r="E15" s="31">
        <f>IF($C$6=0, 0, C15/$C$6)</f>
        <v/>
      </c>
    </row>
    <row r="16" ht="22" customHeight="1">
      <c r="A16" s="32" t="inlineStr">
        <is>
          <t>HIGH</t>
        </is>
      </c>
      <c r="B16" s="33" t="n">
        <v>5</v>
      </c>
      <c r="C16" s="33">
        <f>COUNTIF('Component Data (21 Attr)'!M5:M5, "HIGH")</f>
        <v/>
      </c>
      <c r="D16" s="26">
        <f>B16*C16</f>
        <v/>
      </c>
      <c r="E16" s="34">
        <f>IF($C$6=0, 0, C16/$C$6)</f>
        <v/>
      </c>
    </row>
    <row r="17" ht="22" customHeight="1">
      <c r="A17" s="35" t="inlineStr">
        <is>
          <t>MEDIUM</t>
        </is>
      </c>
      <c r="B17" s="30" t="n">
        <v>2</v>
      </c>
      <c r="C17" s="30">
        <f>COUNTIF('Component Data (21 Attr)'!M5:M5, "MEDIUM")</f>
        <v/>
      </c>
      <c r="D17" s="24">
        <f>B17*C17</f>
        <v/>
      </c>
      <c r="E17" s="31">
        <f>IF($C$6=0, 0, C17/$C$6)</f>
        <v/>
      </c>
    </row>
    <row r="18" ht="22" customHeight="1">
      <c r="A18" s="36" t="inlineStr">
        <is>
          <t>LOW</t>
        </is>
      </c>
      <c r="B18" s="33" t="n">
        <v>1</v>
      </c>
      <c r="C18" s="33">
        <f>COUNTIF('Component Data (21 Attr)'!M5:M5, "LOW")</f>
        <v/>
      </c>
      <c r="D18" s="26">
        <f>B18*C18</f>
        <v/>
      </c>
      <c r="E18" s="34">
        <f>IF($C$6=0, 0, C18/$C$6)</f>
        <v/>
      </c>
    </row>
    <row r="19" ht="24" customHeight="1">
      <c r="A19" s="37" t="inlineStr">
        <is>
          <t>Total Components / Risk Score</t>
        </is>
      </c>
      <c r="B19" s="37" t="inlineStr"/>
      <c r="C19" s="38">
        <f>SUM(C15:C18)</f>
        <v/>
      </c>
      <c r="D19" s="38">
        <f>SUM(D15:D18)</f>
        <v/>
      </c>
      <c r="E19" s="39">
        <f>SUM(E15:E18)</f>
        <v/>
      </c>
    </row>
    <row r="20" ht="24" customHeight="1">
      <c r="A20" s="25" t="inlineStr">
        <is>
          <t>Overall Criticality Risk Index (Total Risk Score / Total Components)</t>
        </is>
      </c>
      <c r="B20" s="25" t="n"/>
      <c r="C20" s="25" t="n"/>
      <c r="D20" s="40">
        <f>IF(C19=0, 0, D19/C19)</f>
        <v/>
      </c>
      <c r="E20" s="25" t="inlineStr">
        <is>
          <t>Target &lt; 3.0</t>
        </is>
      </c>
    </row>
    <row r="22" ht="25" customHeight="1">
      <c r="A22" s="21" t="inlineStr">
        <is>
          <t>3. Component Trust Score Mathematical Distribution</t>
        </is>
      </c>
    </row>
    <row r="23" ht="24" customHeight="1">
      <c r="A23" s="22" t="inlineStr">
        <is>
          <t>Statistical Metric</t>
        </is>
      </c>
      <c r="B23" s="22" t="inlineStr">
        <is>
          <t>Excel Formula</t>
        </is>
      </c>
      <c r="C23" s="22" t="inlineStr">
        <is>
          <t>Calculated Value</t>
        </is>
      </c>
      <c r="D23" s="22" t="inlineStr">
        <is>
          <t>Security Implications &amp; Thresholds</t>
        </is>
      </c>
    </row>
    <row r="24" ht="22" customHeight="1">
      <c r="A24" s="23" t="inlineStr">
        <is>
          <t>Average Trust Score</t>
        </is>
      </c>
      <c r="B24" s="23">
        <f>IFERROR(AVERAGE('Component Data (21 Attr)'!Y5:Y5), 0)</f>
        <v/>
      </c>
      <c r="C24" s="41">
        <f>IFERROR(AVERAGE('Component Data (21 Attr)'!Y5:Y5), 0)</f>
        <v/>
      </c>
      <c r="D24" s="23" t="inlineStr">
        <is>
          <t>Average integrity trust score of all components. Target: &gt;= 80%.</t>
        </is>
      </c>
    </row>
    <row r="25" ht="22" customHeight="1">
      <c r="A25" s="25" t="inlineStr">
        <is>
          <t>Maximum Trust Score</t>
        </is>
      </c>
      <c r="B25" s="25">
        <f>IFERROR(MAX('Component Data (21 Attr)'!Y5:Y5), 0)</f>
        <v/>
      </c>
      <c r="C25" s="28">
        <f>IFERROR(MAX('Component Data (21 Attr)'!Y5:Y5), 0)</f>
        <v/>
      </c>
      <c r="D25" s="25" t="inlineStr">
        <is>
          <t>Highest trust level achieved (typically 100% for well-reviewed dependencies).</t>
        </is>
      </c>
    </row>
    <row r="26" ht="22" customHeight="1">
      <c r="A26" s="23" t="inlineStr">
        <is>
          <t>Minimum Trust Score</t>
        </is>
      </c>
      <c r="B26" s="23">
        <f>IFERROR(MIN('Component Data (21 Attr)'!Y5:Y5), 0)</f>
        <v/>
      </c>
      <c r="C26" s="41">
        <f>IFERROR(MIN('Component Data (21 Attr)'!Y5:Y5), 0)</f>
        <v/>
      </c>
      <c r="D26" s="23" t="inlineStr">
        <is>
          <t>Lowest trust level found. Any component &lt; 50% requires manual auditing.</t>
        </is>
      </c>
    </row>
    <row r="27" ht="22" customHeight="1">
      <c r="A27" s="25" t="inlineStr">
        <is>
          <t>High-Trust Components (&gt;= 80%)</t>
        </is>
      </c>
      <c r="B27" s="25">
        <f>COUNTIF('Component Data (21 Attr)'!Y5:Y5, "&gt;=0.8")</f>
        <v/>
      </c>
      <c r="C27" s="26">
        <f>COUNTIF('Component Data (21 Attr)'!Y5:Y5, "&gt;=0.8")</f>
        <v/>
      </c>
      <c r="D27" s="25" t="inlineStr">
        <is>
          <t>Count of components with high integrity validation.</t>
        </is>
      </c>
    </row>
    <row r="28" ht="22" customHeight="1">
      <c r="A28" s="23" t="inlineStr">
        <is>
          <t>Low-Trust Components (&lt; 50%)</t>
        </is>
      </c>
      <c r="B28" s="23">
        <f>COUNTIF('Component Data (21 Attr)'!Y5:Y5, "&lt;0.5")</f>
        <v/>
      </c>
      <c r="C28" s="24">
        <f>COUNTIF('Component Data (21 Attr)'!Y5:Y5, "&lt;0.5")</f>
        <v/>
      </c>
      <c r="D28" s="23" t="inlineStr">
        <is>
          <t>Count of components with insufficient metadata/hashes (High Risk).</t>
        </is>
      </c>
    </row>
    <row r="29" ht="22" customHeight="1">
      <c r="A29" s="25" t="inlineStr">
        <is>
          <t>Trust Integrity Rate</t>
        </is>
      </c>
      <c r="B29" s="25">
        <f>IF(C6=0, 0, C27/C6)</f>
        <v/>
      </c>
      <c r="C29" s="28">
        <f>IF(C6=0, 0, C27/C6)</f>
        <v/>
      </c>
      <c r="D29" s="25" t="inlineStr">
        <is>
          <t>Proportion of dependencies that meet or exceed the 80% trust threshold.</t>
        </is>
      </c>
    </row>
    <row r="31" ht="25" customHeight="1">
      <c r="A31" s="21" t="inlineStr">
        <is>
          <t>4. Vulnerability Severity Mathematical Distribution</t>
        </is>
      </c>
    </row>
    <row r="32" ht="24" customHeight="1">
      <c r="A32" s="22" t="inlineStr">
        <is>
          <t>Severity Level</t>
        </is>
      </c>
      <c r="B32" s="22" t="inlineStr">
        <is>
          <t>Vulnerability Count</t>
        </is>
      </c>
      <c r="C32" s="22" t="inlineStr">
        <is>
          <t>Percentage of Vulns</t>
        </is>
      </c>
      <c r="D32" s="22" t="inlineStr">
        <is>
          <t>Action Response SLA Thresholds</t>
        </is>
      </c>
    </row>
    <row r="33" ht="22" customHeight="1">
      <c r="A33" s="42" t="inlineStr">
        <is>
          <t>CRITICAL</t>
        </is>
      </c>
      <c r="B33" s="24">
        <f>COUNTIF('Vulnerability Matrix'!C4:C4, "CRITICAL")</f>
        <v/>
      </c>
      <c r="C33" s="31">
        <f>IF($C$7=0, 0, B33/$C$7)</f>
        <v/>
      </c>
      <c r="D33" s="23" t="inlineStr">
        <is>
          <t>Immediate Fix Required (within 24 Hours)</t>
        </is>
      </c>
    </row>
    <row r="34" ht="22" customHeight="1">
      <c r="A34" s="43" t="inlineStr">
        <is>
          <t>HIGH</t>
        </is>
      </c>
      <c r="B34" s="26">
        <f>COUNTIF('Vulnerability Matrix'!C4:C4, "HIGH")</f>
        <v/>
      </c>
      <c r="C34" s="34">
        <f>IF($C$7=0, 0, B34/$C$7)</f>
        <v/>
      </c>
      <c r="D34" s="25" t="inlineStr">
        <is>
          <t>High Priority Fix (within 7 Days)</t>
        </is>
      </c>
    </row>
    <row r="35" ht="22" customHeight="1">
      <c r="A35" s="44" t="inlineStr">
        <is>
          <t>MEDIUM</t>
        </is>
      </c>
      <c r="B35" s="24">
        <f>COUNTIF('Vulnerability Matrix'!C4:C4, "MEDIUM")</f>
        <v/>
      </c>
      <c r="C35" s="31">
        <f>IF($C$7=0, 0, B35/$C$7)</f>
        <v/>
      </c>
      <c r="D35" s="23" t="inlineStr">
        <is>
          <t>Standard Fix (within 30 Days)</t>
        </is>
      </c>
    </row>
    <row r="36" ht="22" customHeight="1">
      <c r="A36" s="45" t="inlineStr">
        <is>
          <t>LOW</t>
        </is>
      </c>
      <c r="B36" s="26">
        <f>COUNTIF('Vulnerability Matrix'!C4:C4, "LOW")</f>
        <v/>
      </c>
      <c r="C36" s="34">
        <f>IF($C$7=0, 0, B36/$C$7)</f>
        <v/>
      </c>
      <c r="D36" s="25" t="inlineStr">
        <is>
          <t>Monitor &amp; Update during cycle</t>
        </is>
      </c>
    </row>
    <row r="37" ht="22" customHeight="1">
      <c r="A37" s="46" t="inlineStr">
        <is>
          <t>UNKNOWN</t>
        </is>
      </c>
      <c r="B37" s="24">
        <f>COUNTIF('Vulnerability Matrix'!C4:C4, "UNKNOWN")</f>
        <v/>
      </c>
      <c r="C37" s="31">
        <f>IF($C$7=0, 0, B37/$C$7)</f>
        <v/>
      </c>
      <c r="D37" s="23" t="inlineStr">
        <is>
          <t>Triage / Verify vulnerability info</t>
        </is>
      </c>
    </row>
    <row r="38" ht="24" customHeight="1">
      <c r="A38" s="47" t="inlineStr">
        <is>
          <t>Total Vulnerabilities</t>
        </is>
      </c>
      <c r="B38" s="38">
        <f>SUM(B33:B37)</f>
        <v/>
      </c>
      <c r="C38" s="39">
        <f>SUM(C33:C37)</f>
        <v/>
      </c>
      <c r="D38" s="47" t="inlineStr"/>
    </row>
  </sheetData>
  <mergeCells count="28">
    <mergeCell ref="D10:E10"/>
    <mergeCell ref="D34:E34"/>
    <mergeCell ref="A1:E1"/>
    <mergeCell ref="D36:E36"/>
    <mergeCell ref="D6:E6"/>
    <mergeCell ref="D11:E11"/>
    <mergeCell ref="D27:E27"/>
    <mergeCell ref="D32:E32"/>
    <mergeCell ref="A20:C20"/>
    <mergeCell ref="D7:E7"/>
    <mergeCell ref="A2:E2"/>
    <mergeCell ref="D37:E37"/>
    <mergeCell ref="D28:E28"/>
    <mergeCell ref="D9:E9"/>
    <mergeCell ref="A22:E22"/>
    <mergeCell ref="D8:E8"/>
    <mergeCell ref="D25:E25"/>
    <mergeCell ref="A4:E4"/>
    <mergeCell ref="D24:E24"/>
    <mergeCell ref="D33:E33"/>
    <mergeCell ref="D29:E29"/>
    <mergeCell ref="D5:E5"/>
    <mergeCell ref="D23:E23"/>
    <mergeCell ref="D38:E38"/>
    <mergeCell ref="A13:E13"/>
    <mergeCell ref="A31:E31"/>
    <mergeCell ref="D26:E26"/>
    <mergeCell ref="D35:E3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CAF50"/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80" customWidth="1" min="3" max="3"/>
    <col width="50" customWidth="1" min="4" max="4"/>
  </cols>
  <sheetData>
    <row r="1" ht="35" customHeight="1">
      <c r="A1" s="19" t="inlineStr">
        <is>
          <t>Report Legend &amp; Attribute Definitions</t>
        </is>
      </c>
    </row>
    <row r="3">
      <c r="A3" s="48" t="inlineStr">
        <is>
          <t>Criticality Levels</t>
        </is>
      </c>
    </row>
    <row r="4" ht="24" customHeight="1">
      <c r="A4" s="49" t="inlineStr">
        <is>
          <t>CRITICAL</t>
        </is>
      </c>
      <c r="B4" s="50" t="inlineStr">
        <is>
          <t>Core component; failure causes system-wide outage or critical security breach.</t>
        </is>
      </c>
    </row>
    <row r="5" ht="24" customHeight="1">
      <c r="A5" s="51" t="inlineStr">
        <is>
          <t>HIGH</t>
        </is>
      </c>
      <c r="B5" s="50" t="inlineStr">
        <is>
          <t>Important component; failure significantly impacts functionality or security.</t>
        </is>
      </c>
    </row>
    <row r="6" ht="24" customHeight="1">
      <c r="A6" s="52" t="inlineStr">
        <is>
          <t>MEDIUM</t>
        </is>
      </c>
      <c r="B6" s="50" t="inlineStr">
        <is>
          <t>Standard component; moderate impact on operations.</t>
        </is>
      </c>
    </row>
    <row r="7" ht="24" customHeight="1">
      <c r="A7" s="53" t="inlineStr">
        <is>
          <t>LOW</t>
        </is>
      </c>
      <c r="B7" s="50" t="inlineStr">
        <is>
          <t>Minor or utility component; minimal operational impact.</t>
        </is>
      </c>
    </row>
    <row r="10">
      <c r="A10" s="48" t="inlineStr">
        <is>
          <t>21 Client-Required SBOM Attributes</t>
        </is>
      </c>
    </row>
    <row r="11">
      <c r="A11" s="18" t="inlineStr">
        <is>
          <t>Sr No</t>
        </is>
      </c>
      <c r="B11" s="18" t="inlineStr">
        <is>
          <t>Attribute Title</t>
        </is>
      </c>
      <c r="C11" s="18" t="inlineStr">
        <is>
          <t>Attribute Description</t>
        </is>
      </c>
    </row>
    <row r="12" ht="22" customHeight="1">
      <c r="A12" s="54" t="n">
        <v>1</v>
      </c>
      <c r="B12" s="55" t="inlineStr">
        <is>
          <t>Component Name</t>
        </is>
      </c>
      <c r="C12" s="55" t="inlineStr">
        <is>
          <t>The name of the software component or library included in the SBOM.</t>
        </is>
      </c>
    </row>
    <row r="13" ht="22" customHeight="1">
      <c r="A13" s="56" t="n">
        <v>2</v>
      </c>
      <c r="B13" s="57" t="inlineStr">
        <is>
          <t>Component Version</t>
        </is>
      </c>
      <c r="C13" s="57" t="inlineStr">
        <is>
          <t>The version number or identifier of the software component.</t>
        </is>
      </c>
    </row>
    <row r="14" ht="22" customHeight="1">
      <c r="A14" s="54" t="n">
        <v>3</v>
      </c>
      <c r="B14" s="55" t="inlineStr">
        <is>
          <t>Component Description</t>
        </is>
      </c>
      <c r="C14" s="55" t="inlineStr">
        <is>
          <t>A brief description of the functionality and purpose of the component.</t>
        </is>
      </c>
    </row>
    <row r="15" ht="22" customHeight="1">
      <c r="A15" s="56" t="n">
        <v>4</v>
      </c>
      <c r="B15" s="57" t="inlineStr">
        <is>
          <t>Component Supplier</t>
        </is>
      </c>
      <c r="C15" s="57" t="inlineStr">
        <is>
          <t>The entity that supplies the software component (vendor, OSS project, etc.).</t>
        </is>
      </c>
    </row>
    <row r="16" ht="22" customHeight="1">
      <c r="A16" s="54" t="n">
        <v>5</v>
      </c>
      <c r="B16" s="55" t="inlineStr">
        <is>
          <t>Component License</t>
        </is>
      </c>
      <c r="C16" s="55" t="inlineStr">
        <is>
          <t>The license under which the component is distributed.</t>
        </is>
      </c>
    </row>
    <row r="17" ht="22" customHeight="1">
      <c r="A17" s="56" t="n">
        <v>6</v>
      </c>
      <c r="B17" s="57" t="inlineStr">
        <is>
          <t>Component Origin</t>
        </is>
      </c>
      <c r="C17" s="57" t="inlineStr">
        <is>
          <t>Source classification: proprietary, open-source, or third-party.</t>
        </is>
      </c>
    </row>
    <row r="18" ht="22" customHeight="1">
      <c r="A18" s="54" t="n">
        <v>7</v>
      </c>
      <c r="B18" s="55" t="inlineStr">
        <is>
          <t>Component Dependencies</t>
        </is>
      </c>
      <c r="C18" s="55" t="inlineStr">
        <is>
          <t>Other components this component depends on, including names and versions.</t>
        </is>
      </c>
    </row>
    <row r="19" ht="22" customHeight="1">
      <c r="A19" s="56" t="n">
        <v>8</v>
      </c>
      <c r="B19" s="57" t="inlineStr">
        <is>
          <t>Vulnerabilities</t>
        </is>
      </c>
      <c r="C19" s="57" t="inlineStr">
        <is>
          <t>Known CVEs or security weaknesses associated with the component.</t>
        </is>
      </c>
    </row>
    <row r="20" ht="22" customHeight="1">
      <c r="A20" s="54" t="n">
        <v>9</v>
      </c>
      <c r="B20" s="55" t="inlineStr">
        <is>
          <t>Patch Status</t>
        </is>
      </c>
      <c r="C20" s="55" t="inlineStr">
        <is>
          <t>Whether patches or updates are available for known vulnerabilities.</t>
        </is>
      </c>
    </row>
    <row r="21" ht="22" customHeight="1">
      <c r="A21" s="56" t="n">
        <v>10</v>
      </c>
      <c r="B21" s="57" t="inlineStr">
        <is>
          <t>Release Date</t>
        </is>
      </c>
      <c r="C21" s="57" t="inlineStr">
        <is>
          <t>The date when the component version was released.</t>
        </is>
      </c>
    </row>
    <row r="22" ht="22" customHeight="1">
      <c r="A22" s="54" t="n">
        <v>11</v>
      </c>
      <c r="B22" s="55" t="inlineStr">
        <is>
          <t>End-of-Life (EOL) Date</t>
        </is>
      </c>
      <c r="C22" s="55" t="inlineStr">
        <is>
          <t>The date when support/maintenance is scheduled to end.</t>
        </is>
      </c>
    </row>
    <row r="23" ht="22" customHeight="1">
      <c r="A23" s="56" t="n">
        <v>12</v>
      </c>
      <c r="B23" s="57" t="inlineStr">
        <is>
          <t>Criticality</t>
        </is>
      </c>
      <c r="C23" s="57" t="inlineStr">
        <is>
          <t>Importance to overall functionality or security (critical/high/medium/low).</t>
        </is>
      </c>
    </row>
    <row r="24" ht="22" customHeight="1">
      <c r="A24" s="54" t="n">
        <v>13</v>
      </c>
      <c r="B24" s="55" t="inlineStr">
        <is>
          <t>Usage Restrictions</t>
        </is>
      </c>
      <c r="C24" s="55" t="inlineStr">
        <is>
          <t>Export control restrictions, IP rights, or other usage limitations.</t>
        </is>
      </c>
    </row>
    <row r="25" ht="22" customHeight="1">
      <c r="A25" s="56" t="n">
        <v>14</v>
      </c>
      <c r="B25" s="57" t="inlineStr">
        <is>
          <t>Checksums or Hashes</t>
        </is>
      </c>
      <c r="C25" s="57" t="inlineStr">
        <is>
          <t>Cryptographic hashes to verify integrity and authenticity.</t>
        </is>
      </c>
    </row>
    <row r="26" ht="22" customHeight="1">
      <c r="A26" s="54" t="n">
        <v>15</v>
      </c>
      <c r="B26" s="55" t="inlineStr">
        <is>
          <t>Comments or Notes</t>
        </is>
      </c>
      <c r="C26" s="55" t="inlineStr">
        <is>
          <t>Additional annotations relevant to the component.</t>
        </is>
      </c>
    </row>
    <row r="27" ht="22" customHeight="1">
      <c r="A27" s="56" t="n">
        <v>16</v>
      </c>
      <c r="B27" s="57" t="inlineStr">
        <is>
          <t>Author of SBOM Data</t>
        </is>
      </c>
      <c r="C27" s="57" t="inlineStr">
        <is>
          <t>The entity that created the SBOM data for this component.</t>
        </is>
      </c>
    </row>
    <row r="28" ht="22" customHeight="1">
      <c r="A28" s="54" t="n">
        <v>17</v>
      </c>
      <c r="B28" s="55" t="inlineStr">
        <is>
          <t>Timestamp</t>
        </is>
      </c>
      <c r="C28" s="55" t="inlineStr">
        <is>
          <t>Date and time of SBOM data assembly.</t>
        </is>
      </c>
    </row>
    <row r="29" ht="22" customHeight="1">
      <c r="A29" s="56" t="n">
        <v>18</v>
      </c>
      <c r="B29" s="57" t="inlineStr">
        <is>
          <t>Executable Property</t>
        </is>
      </c>
      <c r="C29" s="57" t="inlineStr">
        <is>
          <t>Whether the component can be executed as a standalone binary.</t>
        </is>
      </c>
    </row>
    <row r="30" ht="22" customHeight="1">
      <c r="A30" s="54" t="n">
        <v>19</v>
      </c>
      <c r="B30" s="55" t="inlineStr">
        <is>
          <t>Archive Property</t>
        </is>
      </c>
      <c r="C30" s="55" t="inlineStr">
        <is>
          <t>Whether the component is stored as an archive or compressed file.</t>
        </is>
      </c>
    </row>
    <row r="31" ht="22" customHeight="1">
      <c r="A31" s="56" t="n">
        <v>20</v>
      </c>
      <c r="B31" s="57" t="inlineStr">
        <is>
          <t>Structured Property</t>
        </is>
      </c>
      <c r="C31" s="57" t="inlineStr">
        <is>
          <t>The organized data format of the component listing (e.g., CycloneDX JSON).</t>
        </is>
      </c>
    </row>
    <row r="32" ht="22" customHeight="1">
      <c r="A32" s="54" t="n">
        <v>21</v>
      </c>
      <c r="B32" s="55" t="inlineStr">
        <is>
          <t>Unique Identifier</t>
        </is>
      </c>
      <c r="C32" s="55" t="inlineStr">
        <is>
          <t>A distinct code (PURL) assigned to each software component.</t>
        </is>
      </c>
    </row>
  </sheetData>
  <mergeCells count="5">
    <mergeCell ref="A1:D1"/>
    <mergeCell ref="B5:D5"/>
    <mergeCell ref="B4:D4"/>
    <mergeCell ref="B7:D7"/>
    <mergeCell ref="B6:D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2026-06-30T07:25:29Z</dcterms:created>
  <dcterms:modified xmlns:dcterms="http://purl.org/dc/terms/" xmlns:xsi="http://www.w3.org/2001/XMLSchema-instance" xsi:type="dcterms:W3CDTF">2026-06-30T07:25:29Z</dcterms:modified>
</cp:coreProperties>
</file>